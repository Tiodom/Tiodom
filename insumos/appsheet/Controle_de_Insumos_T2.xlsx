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" sheetId="1" state="visible" r:id="rId1"/>
    <sheet xmlns:r="http://schemas.openxmlformats.org/officeDocument/2006/relationships" name="Movi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0" customWidth="1" min="3" max="3"/>
    <col width="10" customWidth="1" min="4" max="4"/>
    <col width="11" customWidth="1" min="5" max="5"/>
    <col width="8" customWidth="1" min="6" max="6"/>
    <col width="2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Unidade</t>
        </is>
      </c>
      <c r="D1" s="1" t="inlineStr">
        <is>
          <t>Minimo</t>
        </is>
      </c>
      <c r="E1" s="1" t="inlineStr">
        <is>
          <t>Prioridade</t>
        </is>
      </c>
      <c r="F1" s="1" t="inlineStr">
        <is>
          <t>Ativo</t>
        </is>
      </c>
      <c r="G1" s="1" t="inlineStr">
        <is>
          <t>Ult_contagem</t>
        </is>
      </c>
      <c r="H1" s="1" t="inlineStr">
        <is>
          <t>Saldo</t>
        </is>
      </c>
      <c r="I1" s="1" t="inlineStr">
        <is>
          <t>Status</t>
        </is>
      </c>
    </row>
    <row r="2">
      <c r="A2" t="inlineStr">
        <is>
          <t>estilete</t>
        </is>
      </c>
      <c r="B2" t="inlineStr">
        <is>
          <t>estilete</t>
        </is>
      </c>
      <c r="C2" t="inlineStr">
        <is>
          <t>Uni</t>
        </is>
      </c>
      <c r="D2" t="n">
        <v>0</v>
      </c>
      <c r="F2" t="inlineStr">
        <is>
          <t>TRUE</t>
        </is>
      </c>
      <c r="G2" s="2">
        <f>MAXIFS(Movimentos!B:B,Movimentos!C:C,A2,Movimentos!D:D,"Contagem")</f>
        <v/>
      </c>
      <c r="H2">
        <f>SUMIFS(Movimentos!E:E,Movimentos!C:C,A2,Movimentos!D:D,"Contagem",Movimentos!B:B,G2)+SUMIFS(Movimentos!E:E,Movimentos!C:C,A2,Movimentos!D:D,"Entrada",Movimentos!B:B,"&gt;"&amp;G2)-SUMIFS(Movimentos!E:E,Movimentos!C:C,A2,Movimentos!D:D,"Saída",Movimentos!B:B,"&gt;"&amp;G2)</f>
        <v/>
      </c>
      <c r="I2">
        <f>IF(H2&lt;=0,"Zerado",IF(AND(D2&gt;0,H2&lt;D2),"Baixo","OK"))</f>
        <v/>
      </c>
    </row>
    <row r="3">
      <c r="A3" t="inlineStr">
        <is>
          <t>shipping-100x100</t>
        </is>
      </c>
      <c r="B3" t="inlineStr">
        <is>
          <t>etiqueta shipping label 100x100</t>
        </is>
      </c>
      <c r="C3" t="inlineStr">
        <is>
          <t>Uni</t>
        </is>
      </c>
      <c r="D3" t="n">
        <v>0</v>
      </c>
      <c r="F3" t="inlineStr">
        <is>
          <t>TRUE</t>
        </is>
      </c>
      <c r="G3" s="2">
        <f>MAXIFS(Movimentos!B:B,Movimentos!C:C,A3,Movimentos!D:D,"Contagem")</f>
        <v/>
      </c>
      <c r="H3">
        <f>SUMIFS(Movimentos!E:E,Movimentos!C:C,A3,Movimentos!D:D,"Contagem",Movimentos!B:B,G3)+SUMIFS(Movimentos!E:E,Movimentos!C:C,A3,Movimentos!D:D,"Entrada",Movimentos!B:B,"&gt;"&amp;G3)-SUMIFS(Movimentos!E:E,Movimentos!C:C,A3,Movimentos!D:D,"Saída",Movimentos!B:B,"&gt;"&amp;G3)</f>
        <v/>
      </c>
      <c r="I3">
        <f>IF(H3&lt;=0,"Zerado",IF(AND(D3&gt;0,H3&lt;D3),"Baixo","OK"))</f>
        <v/>
      </c>
    </row>
    <row r="4">
      <c r="A4" t="inlineStr">
        <is>
          <t>shipping-100x150</t>
        </is>
      </c>
      <c r="B4" t="inlineStr">
        <is>
          <t>etiqueta shipping label 100x150</t>
        </is>
      </c>
      <c r="C4" t="inlineStr">
        <is>
          <t>Uni</t>
        </is>
      </c>
      <c r="D4" t="n">
        <v>0</v>
      </c>
      <c r="F4" t="inlineStr">
        <is>
          <t>TRUE</t>
        </is>
      </c>
      <c r="G4" s="2">
        <f>MAXIFS(Movimentos!B:B,Movimentos!C:C,A4,Movimentos!D:D,"Contagem")</f>
        <v/>
      </c>
      <c r="H4">
        <f>SUMIFS(Movimentos!E:E,Movimentos!C:C,A4,Movimentos!D:D,"Contagem",Movimentos!B:B,G4)+SUMIFS(Movimentos!E:E,Movimentos!C:C,A4,Movimentos!D:D,"Entrada",Movimentos!B:B,"&gt;"&amp;G4)-SUMIFS(Movimentos!E:E,Movimentos!C:C,A4,Movimentos!D:D,"Saída",Movimentos!B:B,"&gt;"&amp;G4)</f>
        <v/>
      </c>
      <c r="I4">
        <f>IF(H4&lt;=0,"Zerado",IF(AND(D4&gt;0,H4&lt;D4),"Baixo","OK"))</f>
        <v/>
      </c>
    </row>
    <row r="5">
      <c r="A5" t="inlineStr">
        <is>
          <t>etq-termica-100x100</t>
        </is>
      </c>
      <c r="B5" t="inlineStr">
        <is>
          <t>etiqueta térmica branca 100x100</t>
        </is>
      </c>
      <c r="C5" t="inlineStr">
        <is>
          <t>Uni</t>
        </is>
      </c>
      <c r="D5" t="n">
        <v>0</v>
      </c>
      <c r="E5" t="n">
        <v>2</v>
      </c>
      <c r="F5" t="inlineStr">
        <is>
          <t>TRUE</t>
        </is>
      </c>
      <c r="G5" s="2">
        <f>MAXIFS(Movimentos!B:B,Movimentos!C:C,A5,Movimentos!D:D,"Contagem")</f>
        <v/>
      </c>
      <c r="H5">
        <f>SUMIFS(Movimentos!E:E,Movimentos!C:C,A5,Movimentos!D:D,"Contagem",Movimentos!B:B,G5)+SUMIFS(Movimentos!E:E,Movimentos!C:C,A5,Movimentos!D:D,"Entrada",Movimentos!B:B,"&gt;"&amp;G5)-SUMIFS(Movimentos!E:E,Movimentos!C:C,A5,Movimentos!D:D,"Saída",Movimentos!B:B,"&gt;"&amp;G5)</f>
        <v/>
      </c>
      <c r="I5">
        <f>IF(H5&lt;=0,"Zerado",IF(AND(D5&gt;0,H5&lt;D5),"Baixo","OK"))</f>
        <v/>
      </c>
    </row>
    <row r="6">
      <c r="A6" t="inlineStr">
        <is>
          <t>etq-termica-100x150</t>
        </is>
      </c>
      <c r="B6" t="inlineStr">
        <is>
          <t>etiqueta térmica branca 100x150</t>
        </is>
      </c>
      <c r="C6" t="inlineStr">
        <is>
          <t>Uni</t>
        </is>
      </c>
      <c r="D6" t="n">
        <v>0</v>
      </c>
      <c r="E6" t="n">
        <v>1</v>
      </c>
      <c r="F6" t="inlineStr">
        <is>
          <t>TRUE</t>
        </is>
      </c>
      <c r="G6" s="2">
        <f>MAXIFS(Movimentos!B:B,Movimentos!C:C,A6,Movimentos!D:D,"Contagem")</f>
        <v/>
      </c>
      <c r="H6">
        <f>SUMIFS(Movimentos!E:E,Movimentos!C:C,A6,Movimentos!D:D,"Contagem",Movimentos!B:B,G6)+SUMIFS(Movimentos!E:E,Movimentos!C:C,A6,Movimentos!D:D,"Entrada",Movimentos!B:B,"&gt;"&amp;G6)-SUMIFS(Movimentos!E:E,Movimentos!C:C,A6,Movimentos!D:D,"Saída",Movimentos!B:B,"&gt;"&amp;G6)</f>
        <v/>
      </c>
      <c r="I6">
        <f>IF(H6&lt;=0,"Zerado",IF(AND(D6&gt;0,H6&lt;D6),"Baixo","OK"))</f>
        <v/>
      </c>
    </row>
    <row r="7">
      <c r="A7" t="inlineStr">
        <is>
          <t>fita-adesiva</t>
        </is>
      </c>
      <c r="B7" t="inlineStr">
        <is>
          <t>fita adesiva</t>
        </is>
      </c>
      <c r="C7" t="inlineStr">
        <is>
          <t>Uni</t>
        </is>
      </c>
      <c r="D7" t="n">
        <v>0</v>
      </c>
      <c r="E7" t="n">
        <v>5</v>
      </c>
      <c r="F7" t="inlineStr">
        <is>
          <t>TRUE</t>
        </is>
      </c>
      <c r="G7" s="2">
        <f>MAXIFS(Movimentos!B:B,Movimentos!C:C,A7,Movimentos!D:D,"Contagem")</f>
        <v/>
      </c>
      <c r="H7">
        <f>SUMIFS(Movimentos!E:E,Movimentos!C:C,A7,Movimentos!D:D,"Contagem",Movimentos!B:B,G7)+SUMIFS(Movimentos!E:E,Movimentos!C:C,A7,Movimentos!D:D,"Entrada",Movimentos!B:B,"&gt;"&amp;G7)-SUMIFS(Movimentos!E:E,Movimentos!C:C,A7,Movimentos!D:D,"Saída",Movimentos!B:B,"&gt;"&amp;G7)</f>
        <v/>
      </c>
      <c r="I7">
        <f>IF(H7&lt;=0,"Zerado",IF(AND(D7&gt;0,H7&lt;D7),"Baixo","OK"))</f>
        <v/>
      </c>
    </row>
    <row r="8">
      <c r="A8" t="inlineStr">
        <is>
          <t>fita-transp-personalizada</t>
        </is>
      </c>
      <c r="B8" t="inlineStr">
        <is>
          <t>fita adesiva transparente personalizada</t>
        </is>
      </c>
      <c r="C8" t="inlineStr">
        <is>
          <t>Uni</t>
        </is>
      </c>
      <c r="D8" t="n">
        <v>0</v>
      </c>
      <c r="F8" t="inlineStr">
        <is>
          <t>TRUE</t>
        </is>
      </c>
      <c r="G8" s="2">
        <f>MAXIFS(Movimentos!B:B,Movimentos!C:C,A8,Movimentos!D:D,"Contagem")</f>
        <v/>
      </c>
      <c r="H8">
        <f>SUMIFS(Movimentos!E:E,Movimentos!C:C,A8,Movimentos!D:D,"Contagem",Movimentos!B:B,G8)+SUMIFS(Movimentos!E:E,Movimentos!C:C,A8,Movimentos!D:D,"Entrada",Movimentos!B:B,"&gt;"&amp;G8)-SUMIFS(Movimentos!E:E,Movimentos!C:C,A8,Movimentos!D:D,"Saída",Movimentos!B:B,"&gt;"&amp;G8)</f>
        <v/>
      </c>
      <c r="I8">
        <f>IF(H8&lt;=0,"Zerado",IF(AND(D8&gt;0,H8&lt;D8),"Baixo","OK"))</f>
        <v/>
      </c>
    </row>
    <row r="9">
      <c r="A9" t="inlineStr">
        <is>
          <t>fita-antiderrapante</t>
        </is>
      </c>
      <c r="B9" t="inlineStr">
        <is>
          <t>fita antiderrapante</t>
        </is>
      </c>
      <c r="C9" t="inlineStr">
        <is>
          <t>Uni</t>
        </is>
      </c>
      <c r="D9" t="n">
        <v>0</v>
      </c>
      <c r="F9" t="inlineStr">
        <is>
          <t>TRUE</t>
        </is>
      </c>
      <c r="G9" s="2">
        <f>MAXIFS(Movimentos!B:B,Movimentos!C:C,A9,Movimentos!D:D,"Contagem")</f>
        <v/>
      </c>
      <c r="H9">
        <f>SUMIFS(Movimentos!E:E,Movimentos!C:C,A9,Movimentos!D:D,"Contagem",Movimentos!B:B,G9)+SUMIFS(Movimentos!E:E,Movimentos!C:C,A9,Movimentos!D:D,"Entrada",Movimentos!B:B,"&gt;"&amp;G9)-SUMIFS(Movimentos!E:E,Movimentos!C:C,A9,Movimentos!D:D,"Saída",Movimentos!B:B,"&gt;"&amp;G9)</f>
        <v/>
      </c>
      <c r="I9">
        <f>IF(H9&lt;=0,"Zerado",IF(AND(D9&gt;0,H9&lt;D9),"Baixo","OK"))</f>
        <v/>
      </c>
    </row>
    <row r="10">
      <c r="A10" t="inlineStr">
        <is>
          <t>fita-dem-amarela</t>
        </is>
      </c>
      <c r="B10" t="inlineStr">
        <is>
          <t>fita demarcação amarela</t>
        </is>
      </c>
      <c r="C10" t="inlineStr">
        <is>
          <t>Uni</t>
        </is>
      </c>
      <c r="D10" t="n">
        <v>0</v>
      </c>
      <c r="F10" t="inlineStr">
        <is>
          <t>TRUE</t>
        </is>
      </c>
      <c r="G10" s="2">
        <f>MAXIFS(Movimentos!B:B,Movimentos!C:C,A10,Movimentos!D:D,"Contagem")</f>
        <v/>
      </c>
      <c r="H10">
        <f>SUMIFS(Movimentos!E:E,Movimentos!C:C,A10,Movimentos!D:D,"Contagem",Movimentos!B:B,G10)+SUMIFS(Movimentos!E:E,Movimentos!C:C,A10,Movimentos!D:D,"Entrada",Movimentos!B:B,"&gt;"&amp;G10)-SUMIFS(Movimentos!E:E,Movimentos!C:C,A10,Movimentos!D:D,"Saída",Movimentos!B:B,"&gt;"&amp;G10)</f>
        <v/>
      </c>
      <c r="I10">
        <f>IF(H10&lt;=0,"Zerado",IF(AND(D10&gt;0,H10&lt;D10),"Baixo","OK"))</f>
        <v/>
      </c>
    </row>
    <row r="11">
      <c r="A11" t="inlineStr">
        <is>
          <t>fita-dem-azul</t>
        </is>
      </c>
      <c r="B11" t="inlineStr">
        <is>
          <t>fita demarcação azul</t>
        </is>
      </c>
      <c r="C11" t="inlineStr">
        <is>
          <t>Uni</t>
        </is>
      </c>
      <c r="D11" t="n">
        <v>0</v>
      </c>
      <c r="F11" t="inlineStr">
        <is>
          <t>TRUE</t>
        </is>
      </c>
      <c r="G11" s="2">
        <f>MAXIFS(Movimentos!B:B,Movimentos!C:C,A11,Movimentos!D:D,"Contagem")</f>
        <v/>
      </c>
      <c r="H11">
        <f>SUMIFS(Movimentos!E:E,Movimentos!C:C,A11,Movimentos!D:D,"Contagem",Movimentos!B:B,G11)+SUMIFS(Movimentos!E:E,Movimentos!C:C,A11,Movimentos!D:D,"Entrada",Movimentos!B:B,"&gt;"&amp;G11)-SUMIFS(Movimentos!E:E,Movimentos!C:C,A11,Movimentos!D:D,"Saída",Movimentos!B:B,"&gt;"&amp;G11)</f>
        <v/>
      </c>
      <c r="I11">
        <f>IF(H11&lt;=0,"Zerado",IF(AND(D11&gt;0,H11&lt;D11),"Baixo","OK"))</f>
        <v/>
      </c>
    </row>
    <row r="12">
      <c r="A12" t="inlineStr">
        <is>
          <t>fita-dem-branca</t>
        </is>
      </c>
      <c r="B12" t="inlineStr">
        <is>
          <t>fita demarcação branca</t>
        </is>
      </c>
      <c r="C12" t="inlineStr">
        <is>
          <t>Uni</t>
        </is>
      </c>
      <c r="D12" t="n">
        <v>0</v>
      </c>
      <c r="F12" t="inlineStr">
        <is>
          <t>TRUE</t>
        </is>
      </c>
      <c r="G12" s="2">
        <f>MAXIFS(Movimentos!B:B,Movimentos!C:C,A12,Movimentos!D:D,"Contagem")</f>
        <v/>
      </c>
      <c r="H12">
        <f>SUMIFS(Movimentos!E:E,Movimentos!C:C,A12,Movimentos!D:D,"Contagem",Movimentos!B:B,G12)+SUMIFS(Movimentos!E:E,Movimentos!C:C,A12,Movimentos!D:D,"Entrada",Movimentos!B:B,"&gt;"&amp;G12)-SUMIFS(Movimentos!E:E,Movimentos!C:C,A12,Movimentos!D:D,"Saída",Movimentos!B:B,"&gt;"&amp;G12)</f>
        <v/>
      </c>
      <c r="I12">
        <f>IF(H12&lt;=0,"Zerado",IF(AND(D12&gt;0,H12&lt;D12),"Baixo","OK"))</f>
        <v/>
      </c>
    </row>
    <row r="13">
      <c r="A13" t="inlineStr">
        <is>
          <t>fita-dem-laranja</t>
        </is>
      </c>
      <c r="B13" t="inlineStr">
        <is>
          <t>fita demarcação laranja</t>
        </is>
      </c>
      <c r="C13" t="inlineStr">
        <is>
          <t>Uni</t>
        </is>
      </c>
      <c r="D13" t="n">
        <v>0</v>
      </c>
      <c r="F13" t="inlineStr">
        <is>
          <t>TRUE</t>
        </is>
      </c>
      <c r="G13" s="2">
        <f>MAXIFS(Movimentos!B:B,Movimentos!C:C,A13,Movimentos!D:D,"Contagem")</f>
        <v/>
      </c>
      <c r="H13">
        <f>SUMIFS(Movimentos!E:E,Movimentos!C:C,A13,Movimentos!D:D,"Contagem",Movimentos!B:B,G13)+SUMIFS(Movimentos!E:E,Movimentos!C:C,A13,Movimentos!D:D,"Entrada",Movimentos!B:B,"&gt;"&amp;G13)-SUMIFS(Movimentos!E:E,Movimentos!C:C,A13,Movimentos!D:D,"Saída",Movimentos!B:B,"&gt;"&amp;G13)</f>
        <v/>
      </c>
      <c r="I13">
        <f>IF(H13&lt;=0,"Zerado",IF(AND(D13&gt;0,H13&lt;D13),"Baixo","OK"))</f>
        <v/>
      </c>
    </row>
    <row r="14">
      <c r="A14" t="inlineStr">
        <is>
          <t>fita-dem-marrom</t>
        </is>
      </c>
      <c r="B14" t="inlineStr">
        <is>
          <t>fita demarcação marrom</t>
        </is>
      </c>
      <c r="C14" t="inlineStr">
        <is>
          <t>Uni</t>
        </is>
      </c>
      <c r="D14" t="n">
        <v>0</v>
      </c>
      <c r="F14" t="inlineStr">
        <is>
          <t>TRUE</t>
        </is>
      </c>
      <c r="G14" s="2">
        <f>MAXIFS(Movimentos!B:B,Movimentos!C:C,A14,Movimentos!D:D,"Contagem")</f>
        <v/>
      </c>
      <c r="H14">
        <f>SUMIFS(Movimentos!E:E,Movimentos!C:C,A14,Movimentos!D:D,"Contagem",Movimentos!B:B,G14)+SUMIFS(Movimentos!E:E,Movimentos!C:C,A14,Movimentos!D:D,"Entrada",Movimentos!B:B,"&gt;"&amp;G14)-SUMIFS(Movimentos!E:E,Movimentos!C:C,A14,Movimentos!D:D,"Saída",Movimentos!B:B,"&gt;"&amp;G14)</f>
        <v/>
      </c>
      <c r="I14">
        <f>IF(H14&lt;=0,"Zerado",IF(AND(D14&gt;0,H14&lt;D14),"Baixo","OK"))</f>
        <v/>
      </c>
    </row>
    <row r="15">
      <c r="A15" t="inlineStr">
        <is>
          <t>fita-dem-verde</t>
        </is>
      </c>
      <c r="B15" t="inlineStr">
        <is>
          <t>fita demarcação verde</t>
        </is>
      </c>
      <c r="C15" t="inlineStr">
        <is>
          <t>Uni</t>
        </is>
      </c>
      <c r="D15" t="n">
        <v>0</v>
      </c>
      <c r="F15" t="inlineStr">
        <is>
          <t>TRUE</t>
        </is>
      </c>
      <c r="G15" s="2">
        <f>MAXIFS(Movimentos!B:B,Movimentos!C:C,A15,Movimentos!D:D,"Contagem")</f>
        <v/>
      </c>
      <c r="H15">
        <f>SUMIFS(Movimentos!E:E,Movimentos!C:C,A15,Movimentos!D:D,"Contagem",Movimentos!B:B,G15)+SUMIFS(Movimentos!E:E,Movimentos!C:C,A15,Movimentos!D:D,"Entrada",Movimentos!B:B,"&gt;"&amp;G15)-SUMIFS(Movimentos!E:E,Movimentos!C:C,A15,Movimentos!D:D,"Saída",Movimentos!B:B,"&gt;"&amp;G15)</f>
        <v/>
      </c>
      <c r="I15">
        <f>IF(H15&lt;=0,"Zerado",IF(AND(D15&gt;0,H15&lt;D15),"Baixo","OK"))</f>
        <v/>
      </c>
    </row>
    <row r="16">
      <c r="A16" t="inlineStr">
        <is>
          <t>fita-dem-vermelha</t>
        </is>
      </c>
      <c r="B16" t="inlineStr">
        <is>
          <t>fita demarcação vermelha</t>
        </is>
      </c>
      <c r="C16" t="inlineStr">
        <is>
          <t>Uni</t>
        </is>
      </c>
      <c r="D16" t="n">
        <v>0</v>
      </c>
      <c r="F16" t="inlineStr">
        <is>
          <t>TRUE</t>
        </is>
      </c>
      <c r="G16" s="2">
        <f>MAXIFS(Movimentos!B:B,Movimentos!C:C,A16,Movimentos!D:D,"Contagem")</f>
        <v/>
      </c>
      <c r="H16">
        <f>SUMIFS(Movimentos!E:E,Movimentos!C:C,A16,Movimentos!D:D,"Contagem",Movimentos!B:B,G16)+SUMIFS(Movimentos!E:E,Movimentos!C:C,A16,Movimentos!D:D,"Entrada",Movimentos!B:B,"&gt;"&amp;G16)-SUMIFS(Movimentos!E:E,Movimentos!C:C,A16,Movimentos!D:D,"Saída",Movimentos!B:B,"&gt;"&amp;G16)</f>
        <v/>
      </c>
      <c r="I16">
        <f>IF(H16&lt;=0,"Zerado",IF(AND(D16&gt;0,H16&lt;D16),"Baixo","OK"))</f>
        <v/>
      </c>
    </row>
    <row r="17">
      <c r="A17" t="inlineStr">
        <is>
          <t>fita-dem-zebrada</t>
        </is>
      </c>
      <c r="B17" t="inlineStr">
        <is>
          <t>fita demarcação zebrada</t>
        </is>
      </c>
      <c r="C17" t="inlineStr">
        <is>
          <t>Uni</t>
        </is>
      </c>
      <c r="D17" t="n">
        <v>0</v>
      </c>
      <c r="F17" t="inlineStr">
        <is>
          <t>TRUE</t>
        </is>
      </c>
      <c r="G17" s="2">
        <f>MAXIFS(Movimentos!B:B,Movimentos!C:C,A17,Movimentos!D:D,"Contagem")</f>
        <v/>
      </c>
      <c r="H17">
        <f>SUMIFS(Movimentos!E:E,Movimentos!C:C,A17,Movimentos!D:D,"Contagem",Movimentos!B:B,G17)+SUMIFS(Movimentos!E:E,Movimentos!C:C,A17,Movimentos!D:D,"Entrada",Movimentos!B:B,"&gt;"&amp;G17)-SUMIFS(Movimentos!E:E,Movimentos!C:C,A17,Movimentos!D:D,"Saída",Movimentos!B:B,"&gt;"&amp;G17)</f>
        <v/>
      </c>
      <c r="I17">
        <f>IF(H17&lt;=0,"Zerado",IF(AND(D17&gt;0,H17&lt;D17),"Baixo","OK"))</f>
        <v/>
      </c>
    </row>
    <row r="18">
      <c r="A18" t="inlineStr">
        <is>
          <t>fita-zebrada-solo</t>
        </is>
      </c>
      <c r="B18" t="inlineStr">
        <is>
          <t>fita zebrada de solo</t>
        </is>
      </c>
      <c r="C18" t="inlineStr">
        <is>
          <t>Uni</t>
        </is>
      </c>
      <c r="D18" t="n">
        <v>0</v>
      </c>
      <c r="F18" t="inlineStr">
        <is>
          <t>TRUE</t>
        </is>
      </c>
      <c r="G18" s="2">
        <f>MAXIFS(Movimentos!B:B,Movimentos!C:C,A18,Movimentos!D:D,"Contagem")</f>
        <v/>
      </c>
      <c r="H18">
        <f>SUMIFS(Movimentos!E:E,Movimentos!C:C,A18,Movimentos!D:D,"Contagem",Movimentos!B:B,G18)+SUMIFS(Movimentos!E:E,Movimentos!C:C,A18,Movimentos!D:D,"Entrada",Movimentos!B:B,"&gt;"&amp;G18)-SUMIFS(Movimentos!E:E,Movimentos!C:C,A18,Movimentos!D:D,"Saída",Movimentos!B:B,"&gt;"&amp;G18)</f>
        <v/>
      </c>
      <c r="I18">
        <f>IF(H18&lt;=0,"Zerado",IF(AND(D18&gt;0,H18&lt;D18),"Baixo","OK"))</f>
        <v/>
      </c>
    </row>
    <row r="19">
      <c r="A19" t="inlineStr">
        <is>
          <t>gaylord</t>
        </is>
      </c>
      <c r="B19" t="inlineStr">
        <is>
          <t>gaylord</t>
        </is>
      </c>
      <c r="C19" t="inlineStr">
        <is>
          <t>Uni</t>
        </is>
      </c>
      <c r="D19" t="n">
        <v>0</v>
      </c>
      <c r="E19" t="n">
        <v>4</v>
      </c>
      <c r="F19" t="inlineStr">
        <is>
          <t>TRUE</t>
        </is>
      </c>
      <c r="G19" s="2">
        <f>MAXIFS(Movimentos!B:B,Movimentos!C:C,A19,Movimentos!D:D,"Contagem")</f>
        <v/>
      </c>
      <c r="H19">
        <f>SUMIFS(Movimentos!E:E,Movimentos!C:C,A19,Movimentos!D:D,"Contagem",Movimentos!B:B,G19)+SUMIFS(Movimentos!E:E,Movimentos!C:C,A19,Movimentos!D:D,"Entrada",Movimentos!B:B,"&gt;"&amp;G19)-SUMIFS(Movimentos!E:E,Movimentos!C:C,A19,Movimentos!D:D,"Saída",Movimentos!B:B,"&gt;"&amp;G19)</f>
        <v/>
      </c>
      <c r="I19">
        <f>IF(H19&lt;=0,"Zerado",IF(AND(D19&gt;0,H19&lt;D19),"Baixo","OK"))</f>
        <v/>
      </c>
    </row>
    <row r="20">
      <c r="A20" t="inlineStr">
        <is>
          <t>lacre</t>
        </is>
      </c>
      <c r="B20" t="inlineStr">
        <is>
          <t>lacre</t>
        </is>
      </c>
      <c r="C20" t="inlineStr">
        <is>
          <t>Uni</t>
        </is>
      </c>
      <c r="D20" t="n">
        <v>0</v>
      </c>
      <c r="F20" t="inlineStr">
        <is>
          <t>TRUE</t>
        </is>
      </c>
      <c r="G20" s="2">
        <f>MAXIFS(Movimentos!B:B,Movimentos!C:C,A20,Movimentos!D:D,"Contagem")</f>
        <v/>
      </c>
      <c r="H20">
        <f>SUMIFS(Movimentos!E:E,Movimentos!C:C,A20,Movimentos!D:D,"Contagem",Movimentos!B:B,G20)+SUMIFS(Movimentos!E:E,Movimentos!C:C,A20,Movimentos!D:D,"Entrada",Movimentos!B:B,"&gt;"&amp;G20)-SUMIFS(Movimentos!E:E,Movimentos!C:C,A20,Movimentos!D:D,"Saída",Movimentos!B:B,"&gt;"&amp;G20)</f>
        <v/>
      </c>
      <c r="I20">
        <f>IF(H20&lt;=0,"Zerado",IF(AND(D20&gt;0,H20&lt;D20),"Baixo","OK"))</f>
        <v/>
      </c>
    </row>
    <row r="21">
      <c r="A21" t="inlineStr">
        <is>
          <t>plastico-bolha</t>
        </is>
      </c>
      <c r="B21" t="inlineStr">
        <is>
          <t>plástico-bolha</t>
        </is>
      </c>
      <c r="C21" t="inlineStr">
        <is>
          <t>Uni</t>
        </is>
      </c>
      <c r="D21" t="n">
        <v>0</v>
      </c>
      <c r="F21" t="inlineStr">
        <is>
          <t>TRUE</t>
        </is>
      </c>
      <c r="G21" s="2">
        <f>MAXIFS(Movimentos!B:B,Movimentos!C:C,A21,Movimentos!D:D,"Contagem")</f>
        <v/>
      </c>
      <c r="H21">
        <f>SUMIFS(Movimentos!E:E,Movimentos!C:C,A21,Movimentos!D:D,"Contagem",Movimentos!B:B,G21)+SUMIFS(Movimentos!E:E,Movimentos!C:C,A21,Movimentos!D:D,"Entrada",Movimentos!B:B,"&gt;"&amp;G21)-SUMIFS(Movimentos!E:E,Movimentos!C:C,A21,Movimentos!D:D,"Saída",Movimentos!B:B,"&gt;"&amp;G21)</f>
        <v/>
      </c>
      <c r="I21">
        <f>IF(H21&lt;=0,"Zerado",IF(AND(D21&gt;0,H21&lt;D21),"Baixo","OK"))</f>
        <v/>
      </c>
    </row>
    <row r="22">
      <c r="A22" t="inlineStr">
        <is>
          <t>ribbon</t>
        </is>
      </c>
      <c r="B22" t="inlineStr">
        <is>
          <t>ribbon</t>
        </is>
      </c>
      <c r="C22" t="inlineStr">
        <is>
          <t>Uni</t>
        </is>
      </c>
      <c r="D22" t="n">
        <v>0</v>
      </c>
      <c r="F22" t="inlineStr">
        <is>
          <t>TRUE</t>
        </is>
      </c>
      <c r="G22" s="2">
        <f>MAXIFS(Movimentos!B:B,Movimentos!C:C,A22,Movimentos!D:D,"Contagem")</f>
        <v/>
      </c>
      <c r="H22">
        <f>SUMIFS(Movimentos!E:E,Movimentos!C:C,A22,Movimentos!D:D,"Contagem",Movimentos!B:B,G22)+SUMIFS(Movimentos!E:E,Movimentos!C:C,A22,Movimentos!D:D,"Entrada",Movimentos!B:B,"&gt;"&amp;G22)-SUMIFS(Movimentos!E:E,Movimentos!C:C,A22,Movimentos!D:D,"Saída",Movimentos!B:B,"&gt;"&amp;G22)</f>
        <v/>
      </c>
      <c r="I22">
        <f>IF(H22&lt;=0,"Zerado",IF(AND(D22&gt;0,H22&lt;D22),"Baixo","OK"))</f>
        <v/>
      </c>
    </row>
    <row r="23">
      <c r="A23" t="inlineStr">
        <is>
          <t>sacas-rafia</t>
        </is>
      </c>
      <c r="B23" t="inlineStr">
        <is>
          <t>sacas de ráfia transparentes</t>
        </is>
      </c>
      <c r="C23" t="inlineStr">
        <is>
          <t>Uni</t>
        </is>
      </c>
      <c r="D23" t="n">
        <v>0</v>
      </c>
      <c r="F23" t="inlineStr">
        <is>
          <t>TRUE</t>
        </is>
      </c>
      <c r="G23" s="2">
        <f>MAXIFS(Movimentos!B:B,Movimentos!C:C,A23,Movimentos!D:D,"Contagem")</f>
        <v/>
      </c>
      <c r="H23">
        <f>SUMIFS(Movimentos!E:E,Movimentos!C:C,A23,Movimentos!D:D,"Contagem",Movimentos!B:B,G23)+SUMIFS(Movimentos!E:E,Movimentos!C:C,A23,Movimentos!D:D,"Entrada",Movimentos!B:B,"&gt;"&amp;G23)-SUMIFS(Movimentos!E:E,Movimentos!C:C,A23,Movimentos!D:D,"Saída",Movimentos!B:B,"&gt;"&amp;G23)</f>
        <v/>
      </c>
      <c r="I23">
        <f>IF(H23&lt;=0,"Zerado",IF(AND(D23&gt;0,H23&lt;D23),"Baixo","OK"))</f>
        <v/>
      </c>
    </row>
    <row r="24">
      <c r="A24" t="inlineStr">
        <is>
          <t>stretch</t>
        </is>
      </c>
      <c r="B24" t="inlineStr">
        <is>
          <t>stretch</t>
        </is>
      </c>
      <c r="C24" t="inlineStr">
        <is>
          <t>Uni</t>
        </is>
      </c>
      <c r="D24" t="n">
        <v>0</v>
      </c>
      <c r="E24" t="n">
        <v>3</v>
      </c>
      <c r="F24" t="inlineStr">
        <is>
          <t>TRUE</t>
        </is>
      </c>
      <c r="G24" s="2">
        <f>MAXIFS(Movimentos!B:B,Movimentos!C:C,A24,Movimentos!D:D,"Contagem")</f>
        <v/>
      </c>
      <c r="H24">
        <f>SUMIFS(Movimentos!E:E,Movimentos!C:C,A24,Movimentos!D:D,"Contagem",Movimentos!B:B,G24)+SUMIFS(Movimentos!E:E,Movimentos!C:C,A24,Movimentos!D:D,"Entrada",Movimentos!B:B,"&gt;"&amp;G24)-SUMIFS(Movimentos!E:E,Movimentos!C:C,A24,Movimentos!D:D,"Saída",Movimentos!B:B,"&gt;"&amp;G24)</f>
        <v/>
      </c>
      <c r="I24">
        <f>IF(H24&lt;=0,"Zerado",IF(AND(D24&gt;0,H24&lt;D24),"Baixo","OK"))</f>
        <v/>
      </c>
    </row>
    <row r="25">
      <c r="A25" t="inlineStr">
        <is>
          <t>stretch-paredao</t>
        </is>
      </c>
      <c r="B25" t="inlineStr">
        <is>
          <t>stretch — paredão</t>
        </is>
      </c>
      <c r="C25" t="inlineStr">
        <is>
          <t>Uni</t>
        </is>
      </c>
      <c r="D25" t="n">
        <v>0</v>
      </c>
      <c r="F25" t="inlineStr">
        <is>
          <t>TRUE</t>
        </is>
      </c>
      <c r="G25" s="2">
        <f>MAXIFS(Movimentos!B:B,Movimentos!C:C,A25,Movimentos!D:D,"Contagem")</f>
        <v/>
      </c>
      <c r="H25">
        <f>SUMIFS(Movimentos!E:E,Movimentos!C:C,A25,Movimentos!D:D,"Contagem",Movimentos!B:B,G25)+SUMIFS(Movimentos!E:E,Movimentos!C:C,A25,Movimentos!D:D,"Entrada",Movimentos!B:B,"&gt;"&amp;G25)-SUMIFS(Movimentos!E:E,Movimentos!C:C,A25,Movimentos!D:D,"Saída",Movimentos!B:B,"&gt;"&amp;G25)</f>
        <v/>
      </c>
      <c r="I25">
        <f>IF(H25&lt;=0,"Zerado",IF(AND(D25&gt;0,H25&lt;D25),"Baixo","OK"))</f>
        <v/>
      </c>
    </row>
    <row r="26">
      <c r="A26" t="inlineStr">
        <is>
          <t>sulfite-a4</t>
        </is>
      </c>
      <c r="B26" t="inlineStr">
        <is>
          <t>sulfite A4 branca</t>
        </is>
      </c>
      <c r="C26" t="inlineStr">
        <is>
          <t>pacotes</t>
        </is>
      </c>
      <c r="D26" t="n">
        <v>0</v>
      </c>
      <c r="F26" t="inlineStr">
        <is>
          <t>TRUE</t>
        </is>
      </c>
      <c r="G26" s="2">
        <f>MAXIFS(Movimentos!B:B,Movimentos!C:C,A26,Movimentos!D:D,"Contagem")</f>
        <v/>
      </c>
      <c r="H26">
        <f>SUMIFS(Movimentos!E:E,Movimentos!C:C,A26,Movimentos!D:D,"Contagem",Movimentos!B:B,G26)+SUMIFS(Movimentos!E:E,Movimentos!C:C,A26,Movimentos!D:D,"Entrada",Movimentos!B:B,"&gt;"&amp;G26)-SUMIFS(Movimentos!E:E,Movimentos!C:C,A26,Movimentos!D:D,"Saída",Movimentos!B:B,"&gt;"&amp;G26)</f>
        <v/>
      </c>
      <c r="I26">
        <f>IF(H26&lt;=0,"Zerado",IF(AND(D26&gt;0,H26&lt;D26),"Baixo","OK"))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0" customWidth="1" min="3" max="3"/>
    <col width="10" customWidth="1" min="4" max="4"/>
    <col width="11" customWidth="1" min="5" max="5"/>
    <col width="8" customWidth="1" min="6" max="6"/>
    <col width="2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Data_hora</t>
        </is>
      </c>
      <c r="C1" s="1" t="inlineStr">
        <is>
          <t>Insumo</t>
        </is>
      </c>
      <c r="D1" s="1" t="inlineStr">
        <is>
          <t>Tipo</t>
        </is>
      </c>
      <c r="E1" s="1" t="inlineStr">
        <is>
          <t>Quantidade</t>
        </is>
      </c>
      <c r="F1" s="1" t="inlineStr">
        <is>
          <t>Turno</t>
        </is>
      </c>
      <c r="G1" s="1" t="inlineStr">
        <is>
          <t>Quem</t>
        </is>
      </c>
    </row>
    <row r="2">
      <c r="A2" t="inlineStr">
        <is>
          <t>M0001</t>
        </is>
      </c>
      <c r="B2" s="2" t="n">
        <v>46314.06164351852</v>
      </c>
      <c r="C2" t="inlineStr">
        <is>
          <t>etq-termica-100x150</t>
        </is>
      </c>
      <c r="D2" t="inlineStr">
        <is>
          <t>Saída</t>
        </is>
      </c>
      <c r="E2" t="n">
        <v>2</v>
      </c>
      <c r="F2" t="inlineStr">
        <is>
          <t>T2</t>
        </is>
      </c>
      <c r="G2" t="inlineStr">
        <is>
          <t>Diegorocha</t>
        </is>
      </c>
    </row>
    <row r="3">
      <c r="A3" t="inlineStr">
        <is>
          <t>M0002</t>
        </is>
      </c>
      <c r="B3" s="2" t="n">
        <v>46318.64923611111</v>
      </c>
      <c r="C3" t="inlineStr">
        <is>
          <t>etq-termica-100x100</t>
        </is>
      </c>
      <c r="D3" t="inlineStr">
        <is>
          <t>Saída</t>
        </is>
      </c>
      <c r="E3" t="n">
        <v>3</v>
      </c>
      <c r="F3" t="inlineStr">
        <is>
          <t>T2</t>
        </is>
      </c>
      <c r="G3" t="inlineStr">
        <is>
          <t>Diegorocha</t>
        </is>
      </c>
    </row>
    <row r="4">
      <c r="A4" t="inlineStr">
        <is>
          <t>M0003</t>
        </is>
      </c>
      <c r="B4" s="2" t="n">
        <v>46318.65295138889</v>
      </c>
      <c r="C4" t="inlineStr">
        <is>
          <t>gaylord</t>
        </is>
      </c>
      <c r="D4" t="inlineStr">
        <is>
          <t>Saída</t>
        </is>
      </c>
      <c r="E4" t="n">
        <v>10</v>
      </c>
      <c r="F4" t="inlineStr">
        <is>
          <t>T2</t>
        </is>
      </c>
      <c r="G4" t="inlineStr">
        <is>
          <t>Diegorocha</t>
        </is>
      </c>
    </row>
    <row r="5">
      <c r="A5" t="inlineStr">
        <is>
          <t>M0004</t>
        </is>
      </c>
      <c r="B5" s="2" t="n">
        <v>46323</v>
      </c>
      <c r="C5" t="inlineStr">
        <is>
          <t>estilete</t>
        </is>
      </c>
      <c r="D5" t="inlineStr">
        <is>
          <t>Contagem</t>
        </is>
      </c>
      <c r="E5" t="n">
        <v>2040</v>
      </c>
      <c r="F5" t="inlineStr">
        <is>
          <t>T2</t>
        </is>
      </c>
      <c r="G5" t="inlineStr">
        <is>
          <t>Saldo inicial (migração)</t>
        </is>
      </c>
    </row>
    <row r="6">
      <c r="A6" t="inlineStr">
        <is>
          <t>M0005</t>
        </is>
      </c>
      <c r="B6" s="2" t="n">
        <v>46323</v>
      </c>
      <c r="C6" t="inlineStr">
        <is>
          <t>shipping-100x100</t>
        </is>
      </c>
      <c r="D6" t="inlineStr">
        <is>
          <t>Contagem</t>
        </is>
      </c>
      <c r="E6" t="n">
        <v>704</v>
      </c>
      <c r="F6" t="inlineStr">
        <is>
          <t>T2</t>
        </is>
      </c>
      <c r="G6" t="inlineStr">
        <is>
          <t>Saldo inicial (migração)</t>
        </is>
      </c>
    </row>
    <row r="7">
      <c r="A7" t="inlineStr">
        <is>
          <t>M0006</t>
        </is>
      </c>
      <c r="B7" s="2" t="n">
        <v>46323</v>
      </c>
      <c r="C7" t="inlineStr">
        <is>
          <t>shipping-100x150</t>
        </is>
      </c>
      <c r="D7" t="inlineStr">
        <is>
          <t>Contagem</t>
        </is>
      </c>
      <c r="E7" t="n">
        <v>339</v>
      </c>
      <c r="F7" t="inlineStr">
        <is>
          <t>T2</t>
        </is>
      </c>
      <c r="G7" t="inlineStr">
        <is>
          <t>Saldo inicial (migração)</t>
        </is>
      </c>
    </row>
    <row r="8">
      <c r="A8" t="inlineStr">
        <is>
          <t>M0007</t>
        </is>
      </c>
      <c r="B8" s="2" t="n">
        <v>46323</v>
      </c>
      <c r="C8" t="inlineStr">
        <is>
          <t>etq-termica-100x100</t>
        </is>
      </c>
      <c r="D8" t="inlineStr">
        <is>
          <t>Contagem</t>
        </is>
      </c>
      <c r="E8" t="n">
        <v>277</v>
      </c>
      <c r="F8" t="inlineStr">
        <is>
          <t>T2</t>
        </is>
      </c>
      <c r="G8" t="inlineStr">
        <is>
          <t>Saldo inicial (migração)</t>
        </is>
      </c>
    </row>
    <row r="9">
      <c r="A9" t="inlineStr">
        <is>
          <t>M0008</t>
        </is>
      </c>
      <c r="B9" s="2" t="n">
        <v>46323</v>
      </c>
      <c r="C9" t="inlineStr">
        <is>
          <t>etq-termica-100x150</t>
        </is>
      </c>
      <c r="D9" t="inlineStr">
        <is>
          <t>Contagem</t>
        </is>
      </c>
      <c r="E9" t="n">
        <v>89</v>
      </c>
      <c r="F9" t="inlineStr">
        <is>
          <t>T2</t>
        </is>
      </c>
      <c r="G9" t="inlineStr">
        <is>
          <t>Saldo inicial (migração)</t>
        </is>
      </c>
    </row>
    <row r="10">
      <c r="A10" t="inlineStr">
        <is>
          <t>M0009</t>
        </is>
      </c>
      <c r="B10" s="2" t="n">
        <v>46323</v>
      </c>
      <c r="C10" t="inlineStr">
        <is>
          <t>fita-adesiva</t>
        </is>
      </c>
      <c r="D10" t="inlineStr">
        <is>
          <t>Contagem</t>
        </is>
      </c>
      <c r="E10" t="n">
        <v>1625</v>
      </c>
      <c r="F10" t="inlineStr">
        <is>
          <t>T2</t>
        </is>
      </c>
      <c r="G10" t="inlineStr">
        <is>
          <t>Saldo inicial (migração)</t>
        </is>
      </c>
    </row>
    <row r="11">
      <c r="A11" t="inlineStr">
        <is>
          <t>M0010</t>
        </is>
      </c>
      <c r="B11" s="2" t="n">
        <v>46323</v>
      </c>
      <c r="C11" t="inlineStr">
        <is>
          <t>fita-transp-personalizada</t>
        </is>
      </c>
      <c r="D11" t="inlineStr">
        <is>
          <t>Contagem</t>
        </is>
      </c>
      <c r="E11" t="n">
        <v>288</v>
      </c>
      <c r="F11" t="inlineStr">
        <is>
          <t>T2</t>
        </is>
      </c>
      <c r="G11" t="inlineStr">
        <is>
          <t>Saldo inicial (migração)</t>
        </is>
      </c>
    </row>
    <row r="12">
      <c r="A12" t="inlineStr">
        <is>
          <t>M0011</t>
        </is>
      </c>
      <c r="B12" s="2" t="n">
        <v>46323</v>
      </c>
      <c r="C12" t="inlineStr">
        <is>
          <t>fita-antiderrapante</t>
        </is>
      </c>
      <c r="D12" t="inlineStr">
        <is>
          <t>Contagem</t>
        </is>
      </c>
      <c r="E12" t="n">
        <v>80</v>
      </c>
      <c r="F12" t="inlineStr">
        <is>
          <t>T2</t>
        </is>
      </c>
      <c r="G12" t="inlineStr">
        <is>
          <t>Saldo inicial (migração)</t>
        </is>
      </c>
    </row>
    <row r="13">
      <c r="A13" t="inlineStr">
        <is>
          <t>M0012</t>
        </is>
      </c>
      <c r="B13" s="2" t="n">
        <v>46323</v>
      </c>
      <c r="C13" t="inlineStr">
        <is>
          <t>fita-dem-amarela</t>
        </is>
      </c>
      <c r="D13" t="inlineStr">
        <is>
          <t>Contagem</t>
        </is>
      </c>
      <c r="E13" t="n">
        <v>108</v>
      </c>
      <c r="F13" t="inlineStr">
        <is>
          <t>T2</t>
        </is>
      </c>
      <c r="G13" t="inlineStr">
        <is>
          <t>Saldo inicial (migração)</t>
        </is>
      </c>
    </row>
    <row r="14">
      <c r="A14" t="inlineStr">
        <is>
          <t>M0013</t>
        </is>
      </c>
      <c r="B14" s="2" t="n">
        <v>46323</v>
      </c>
      <c r="C14" t="inlineStr">
        <is>
          <t>fita-dem-azul</t>
        </is>
      </c>
      <c r="D14" t="inlineStr">
        <is>
          <t>Contagem</t>
        </is>
      </c>
      <c r="E14" t="n">
        <v>157</v>
      </c>
      <c r="F14" t="inlineStr">
        <is>
          <t>T2</t>
        </is>
      </c>
      <c r="G14" t="inlineStr">
        <is>
          <t>Saldo inicial (migração)</t>
        </is>
      </c>
    </row>
    <row r="15">
      <c r="A15" t="inlineStr">
        <is>
          <t>M0014</t>
        </is>
      </c>
      <c r="B15" s="2" t="n">
        <v>46323</v>
      </c>
      <c r="C15" t="inlineStr">
        <is>
          <t>fita-dem-branca</t>
        </is>
      </c>
      <c r="D15" t="inlineStr">
        <is>
          <t>Contagem</t>
        </is>
      </c>
      <c r="E15" t="n">
        <v>159</v>
      </c>
      <c r="F15" t="inlineStr">
        <is>
          <t>T2</t>
        </is>
      </c>
      <c r="G15" t="inlineStr">
        <is>
          <t>Saldo inicial (migração)</t>
        </is>
      </c>
    </row>
    <row r="16">
      <c r="A16" t="inlineStr">
        <is>
          <t>M0015</t>
        </is>
      </c>
      <c r="B16" s="2" t="n">
        <v>46323</v>
      </c>
      <c r="C16" t="inlineStr">
        <is>
          <t>fita-dem-laranja</t>
        </is>
      </c>
      <c r="D16" t="inlineStr">
        <is>
          <t>Contagem</t>
        </is>
      </c>
      <c r="E16" t="n">
        <v>28</v>
      </c>
      <c r="F16" t="inlineStr">
        <is>
          <t>T2</t>
        </is>
      </c>
      <c r="G16" t="inlineStr">
        <is>
          <t>Saldo inicial (migração)</t>
        </is>
      </c>
    </row>
    <row r="17">
      <c r="A17" t="inlineStr">
        <is>
          <t>M0016</t>
        </is>
      </c>
      <c r="B17" s="2" t="n">
        <v>46323</v>
      </c>
      <c r="C17" t="inlineStr">
        <is>
          <t>fita-dem-marrom</t>
        </is>
      </c>
      <c r="D17" t="inlineStr">
        <is>
          <t>Contagem</t>
        </is>
      </c>
      <c r="E17" t="n">
        <v>6</v>
      </c>
      <c r="F17" t="inlineStr">
        <is>
          <t>T2</t>
        </is>
      </c>
      <c r="G17" t="inlineStr">
        <is>
          <t>Saldo inicial (migração)</t>
        </is>
      </c>
    </row>
    <row r="18">
      <c r="A18" t="inlineStr">
        <is>
          <t>M0017</t>
        </is>
      </c>
      <c r="B18" s="2" t="n">
        <v>46323</v>
      </c>
      <c r="C18" t="inlineStr">
        <is>
          <t>fita-dem-verde</t>
        </is>
      </c>
      <c r="D18" t="inlineStr">
        <is>
          <t>Contagem</t>
        </is>
      </c>
      <c r="E18" t="n">
        <v>135</v>
      </c>
      <c r="F18" t="inlineStr">
        <is>
          <t>T2</t>
        </is>
      </c>
      <c r="G18" t="inlineStr">
        <is>
          <t>Saldo inicial (migração)</t>
        </is>
      </c>
    </row>
    <row r="19">
      <c r="A19" t="inlineStr">
        <is>
          <t>M0018</t>
        </is>
      </c>
      <c r="B19" s="2" t="n">
        <v>46323</v>
      </c>
      <c r="C19" t="inlineStr">
        <is>
          <t>fita-dem-vermelha</t>
        </is>
      </c>
      <c r="D19" t="inlineStr">
        <is>
          <t>Contagem</t>
        </is>
      </c>
      <c r="E19" t="n">
        <v>140</v>
      </c>
      <c r="F19" t="inlineStr">
        <is>
          <t>T2</t>
        </is>
      </c>
      <c r="G19" t="inlineStr">
        <is>
          <t>Saldo inicial (migração)</t>
        </is>
      </c>
    </row>
    <row r="20">
      <c r="A20" t="inlineStr">
        <is>
          <t>M0019</t>
        </is>
      </c>
      <c r="B20" s="2" t="n">
        <v>46323</v>
      </c>
      <c r="C20" t="inlineStr">
        <is>
          <t>fita-dem-zebrada</t>
        </is>
      </c>
      <c r="D20" t="inlineStr">
        <is>
          <t>Contagem</t>
        </is>
      </c>
      <c r="E20" t="n">
        <v>90</v>
      </c>
      <c r="F20" t="inlineStr">
        <is>
          <t>T2</t>
        </is>
      </c>
      <c r="G20" t="inlineStr">
        <is>
          <t>Saldo inicial (migração)</t>
        </is>
      </c>
    </row>
    <row r="21">
      <c r="A21" t="inlineStr">
        <is>
          <t>M0020</t>
        </is>
      </c>
      <c r="B21" s="2" t="n">
        <v>46323</v>
      </c>
      <c r="C21" t="inlineStr">
        <is>
          <t>fita-zebrada-solo</t>
        </is>
      </c>
      <c r="D21" t="inlineStr">
        <is>
          <t>Contagem</t>
        </is>
      </c>
      <c r="E21" t="n">
        <v>37</v>
      </c>
      <c r="F21" t="inlineStr">
        <is>
          <t>T2</t>
        </is>
      </c>
      <c r="G21" t="inlineStr">
        <is>
          <t>Saldo inicial (migração)</t>
        </is>
      </c>
    </row>
    <row r="22">
      <c r="A22" t="inlineStr">
        <is>
          <t>M0021</t>
        </is>
      </c>
      <c r="B22" s="2" t="n">
        <v>46323</v>
      </c>
      <c r="C22" t="inlineStr">
        <is>
          <t>gaylord</t>
        </is>
      </c>
      <c r="D22" t="inlineStr">
        <is>
          <t>Contagem</t>
        </is>
      </c>
      <c r="E22" t="n">
        <v>53</v>
      </c>
      <c r="F22" t="inlineStr">
        <is>
          <t>T2</t>
        </is>
      </c>
      <c r="G22" t="inlineStr">
        <is>
          <t>Saldo inicial (migração)</t>
        </is>
      </c>
    </row>
    <row r="23">
      <c r="A23" t="inlineStr">
        <is>
          <t>M0022</t>
        </is>
      </c>
      <c r="B23" s="2" t="n">
        <v>46323</v>
      </c>
      <c r="C23" t="inlineStr">
        <is>
          <t>lacre</t>
        </is>
      </c>
      <c r="D23" t="inlineStr">
        <is>
          <t>Contagem</t>
        </is>
      </c>
      <c r="E23" t="n">
        <v>25400</v>
      </c>
      <c r="F23" t="inlineStr">
        <is>
          <t>T2</t>
        </is>
      </c>
      <c r="G23" t="inlineStr">
        <is>
          <t>Saldo inicial (migração)</t>
        </is>
      </c>
    </row>
    <row r="24">
      <c r="A24" t="inlineStr">
        <is>
          <t>M0023</t>
        </is>
      </c>
      <c r="B24" s="2" t="n">
        <v>46323</v>
      </c>
      <c r="C24" t="inlineStr">
        <is>
          <t>plastico-bolha</t>
        </is>
      </c>
      <c r="D24" t="inlineStr">
        <is>
          <t>Contagem</t>
        </is>
      </c>
      <c r="E24" t="n">
        <v>9</v>
      </c>
      <c r="F24" t="inlineStr">
        <is>
          <t>T2</t>
        </is>
      </c>
      <c r="G24" t="inlineStr">
        <is>
          <t>Saldo inicial (migração)</t>
        </is>
      </c>
    </row>
    <row r="25">
      <c r="A25" t="inlineStr">
        <is>
          <t>M0024</t>
        </is>
      </c>
      <c r="B25" s="2" t="n">
        <v>46323</v>
      </c>
      <c r="C25" t="inlineStr">
        <is>
          <t>ribbon</t>
        </is>
      </c>
      <c r="D25" t="inlineStr">
        <is>
          <t>Contagem</t>
        </is>
      </c>
      <c r="E25" t="n">
        <v>781</v>
      </c>
      <c r="F25" t="inlineStr">
        <is>
          <t>T2</t>
        </is>
      </c>
      <c r="G25" t="inlineStr">
        <is>
          <t>Saldo inicial (migração)</t>
        </is>
      </c>
    </row>
    <row r="26">
      <c r="A26" t="inlineStr">
        <is>
          <t>M0025</t>
        </is>
      </c>
      <c r="B26" s="2" t="n">
        <v>46323</v>
      </c>
      <c r="C26" t="inlineStr">
        <is>
          <t>sacas-rafia</t>
        </is>
      </c>
      <c r="D26" t="inlineStr">
        <is>
          <t>Contagem</t>
        </is>
      </c>
      <c r="E26" t="n">
        <v>94590</v>
      </c>
      <c r="F26" t="inlineStr">
        <is>
          <t>T2</t>
        </is>
      </c>
      <c r="G26" t="inlineStr">
        <is>
          <t>Saldo inicial (migração)</t>
        </is>
      </c>
    </row>
    <row r="27">
      <c r="A27" t="inlineStr">
        <is>
          <t>M0026</t>
        </is>
      </c>
      <c r="B27" s="2" t="n">
        <v>46323</v>
      </c>
      <c r="C27" t="inlineStr">
        <is>
          <t>stretch</t>
        </is>
      </c>
      <c r="D27" t="inlineStr">
        <is>
          <t>Contagem</t>
        </is>
      </c>
      <c r="E27" t="n">
        <v>4522</v>
      </c>
      <c r="F27" t="inlineStr">
        <is>
          <t>T2</t>
        </is>
      </c>
      <c r="G27" t="inlineStr">
        <is>
          <t>Saldo inicial (migração)</t>
        </is>
      </c>
    </row>
    <row r="28">
      <c r="A28" t="inlineStr">
        <is>
          <t>M0027</t>
        </is>
      </c>
      <c r="B28" s="2" t="n">
        <v>46323</v>
      </c>
      <c r="C28" t="inlineStr">
        <is>
          <t>stretch-paredao</t>
        </is>
      </c>
      <c r="D28" t="inlineStr">
        <is>
          <t>Contagem</t>
        </is>
      </c>
      <c r="E28" t="n">
        <v>4480</v>
      </c>
      <c r="F28" t="inlineStr">
        <is>
          <t>T2</t>
        </is>
      </c>
      <c r="G28" t="inlineStr">
        <is>
          <t>Saldo inicial (migração)</t>
        </is>
      </c>
    </row>
    <row r="29">
      <c r="A29" t="inlineStr">
        <is>
          <t>M0028</t>
        </is>
      </c>
      <c r="B29" s="2" t="n">
        <v>46323</v>
      </c>
      <c r="C29" t="inlineStr">
        <is>
          <t>sulfite-a4</t>
        </is>
      </c>
      <c r="D29" t="inlineStr">
        <is>
          <t>Contagem</t>
        </is>
      </c>
      <c r="E29" t="n">
        <v>200</v>
      </c>
      <c r="F29" t="inlineStr">
        <is>
          <t>T2</t>
        </is>
      </c>
      <c r="G29" t="inlineStr">
        <is>
          <t>Saldo inicial (migração)</t>
        </is>
      </c>
    </row>
  </sheetData>
  <dataValidations count="1">
    <dataValidation sqref="D2:D5000" showDropDown="0" showInputMessage="0" showErrorMessage="0" allowBlank="0" type="list">
      <formula1>"Saída,Entrada,Contagem"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2026-10-28T04:19:41Z</dcterms:created>
  <dcterms:modified xmlns:dcterms="http://purl.org/dc/terms/" xmlns:xsi="http://www.w3.org/2001/XMLSchema-instance" xsi:type="dcterms:W3CDTF">2026-10-28T04:23:40Z</dcterms:modified>
</cp:coreProperties>
</file>